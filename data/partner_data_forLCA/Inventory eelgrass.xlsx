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lca_for_adaptive_factories/data/partner_data_forLCA/"/>
    </mc:Choice>
  </mc:AlternateContent>
  <xr:revisionPtr revIDLastSave="3" documentId="13_ncr:1_{67511A56-F302-44D5-A61D-71C5FB01259E}" xr6:coauthVersionLast="47" xr6:coauthVersionMax="47" xr10:uidLastSave="{94964132-E32B-1C41-B37C-731F6D800E62}"/>
  <bookViews>
    <workbookView xWindow="1920" yWindow="1940" windowWidth="25820" windowHeight="15500" xr2:uid="{00000000-000D-0000-FFFF-FFFF00000000}"/>
  </bookViews>
  <sheets>
    <sheet name="Loose Ealgrass" sheetId="8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8" l="1"/>
  <c r="C22" i="8"/>
  <c r="D48" i="8"/>
  <c r="D47" i="8" s="1"/>
  <c r="G50" i="8"/>
  <c r="D42" i="8" l="1"/>
  <c r="D44" i="8"/>
  <c r="D45" i="8"/>
  <c r="D43" i="8"/>
  <c r="D46" i="8"/>
</calcChain>
</file>

<file path=xl/sharedStrings.xml><?xml version="1.0" encoding="utf-8"?>
<sst xmlns="http://schemas.openxmlformats.org/spreadsheetml/2006/main" count="100" uniqueCount="51">
  <si>
    <t>Material Flows (KG)</t>
  </si>
  <si>
    <t>Flow</t>
  </si>
  <si>
    <t>Target Process</t>
  </si>
  <si>
    <t>Amount</t>
  </si>
  <si>
    <t>%</t>
  </si>
  <si>
    <t>Seagrass (byproduct)</t>
  </si>
  <si>
    <t>accounting for loss</t>
  </si>
  <si>
    <t>Carbon dioxide</t>
  </si>
  <si>
    <t>negative input</t>
  </si>
  <si>
    <t>Nitrogen</t>
  </si>
  <si>
    <t>Phosphorus</t>
  </si>
  <si>
    <t>Potassium</t>
  </si>
  <si>
    <t>Seagrass drying</t>
  </si>
  <si>
    <t>Dried seagrass</t>
  </si>
  <si>
    <t>Seagrass shredding</t>
  </si>
  <si>
    <t>Seagrass Nutrients Content</t>
  </si>
  <si>
    <t>Transport (t*KM)</t>
  </si>
  <si>
    <t>Trajectory</t>
  </si>
  <si>
    <t>Ressource transported</t>
  </si>
  <si>
    <t>Distance in KM</t>
  </si>
  <si>
    <t>t*KM input</t>
  </si>
  <si>
    <t>In a area around Limfjord or Convert A/S</t>
  </si>
  <si>
    <t>Total</t>
  </si>
  <si>
    <t>Water (L)</t>
  </si>
  <si>
    <t>Process</t>
  </si>
  <si>
    <t>Use of water</t>
  </si>
  <si>
    <t>10% of mass for cleaning, 5% for ease of processing</t>
  </si>
  <si>
    <t>As rincing</t>
  </si>
  <si>
    <t>Electricity (MJ)</t>
  </si>
  <si>
    <t>Danish Electricity Mix 2022</t>
  </si>
  <si>
    <t>(Source Denmark Energy Policy Review 20223)</t>
  </si>
  <si>
    <t>Machine</t>
  </si>
  <si>
    <t>Source</t>
  </si>
  <si>
    <t>Wind</t>
  </si>
  <si>
    <t>Bioenergy</t>
  </si>
  <si>
    <t>Solar</t>
  </si>
  <si>
    <t>Coal</t>
  </si>
  <si>
    <t>Natural gas</t>
  </si>
  <si>
    <t>Oil</t>
  </si>
  <si>
    <t xml:space="preserve">Total </t>
  </si>
  <si>
    <t>Heating</t>
  </si>
  <si>
    <t>Functional unit: 1kg of dried seagrass</t>
  </si>
  <si>
    <t>Carbon dioxide (output)</t>
  </si>
  <si>
    <t>Content</t>
  </si>
  <si>
    <t>Intake</t>
  </si>
  <si>
    <t>Runoff</t>
  </si>
  <si>
    <t>Seagrass(Zostera)</t>
  </si>
  <si>
    <t>(=36*3.67)</t>
  </si>
  <si>
    <t>Nitrogen(output)</t>
  </si>
  <si>
    <t>Phosphorus(output)</t>
  </si>
  <si>
    <t>Potassium(output)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</si>
</sst>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2" fontId="3" fillId="0" borderId="0" xfId="0" applyNumberFormat="1" applyFont="1"/>
    <xf numFmtId="0" fontId="3" fillId="0" borderId="0" xfId="0" applyFont="1"/>
    <xf numFmtId="0" fontId="2" fillId="5" borderId="0" xfId="0" applyFont="1" applyFill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glakademi.sharepoint.com/teams/BlueBioMassGlobalInnovationNetwork/Shared%20Documents/General/08_Projects/2025_RealDania%20report/CITA/venice_panel_reference_lists.xlsx" TargetMode="External"/><Relationship Id="rId1" Type="http://schemas.openxmlformats.org/officeDocument/2006/relationships/externalLinkPath" Target="https://kglakademi.sharepoint.com/teams/BlueBioMassGlobalInnovationNetwork/Shared%20Documents/General/08_Projects/2025_RealDania%20report/CITA/venice_panel_reference_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ice_Mussel_Shell_Panels"/>
      <sheetName val="Panels_Production_Data"/>
      <sheetName val="LCI Information"/>
      <sheetName val="Electricity Use"/>
      <sheetName val="Flows Quantification"/>
      <sheetName val="Stakeholders"/>
    </sheetNames>
    <sheetDataSet>
      <sheetData sheetId="0"/>
      <sheetData sheetId="1"/>
      <sheetData sheetId="2"/>
      <sheetData sheetId="3">
        <row r="2">
          <cell r="F2">
            <v>1.8</v>
          </cell>
        </row>
        <row r="5">
          <cell r="F5">
            <v>90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41BC-A918-4C24-8E4F-FA2615904A86}">
  <dimension ref="A1:N50"/>
  <sheetViews>
    <sheetView tabSelected="1" zoomScale="120" zoomScaleNormal="120" workbookViewId="0">
      <selection activeCell="K11" sqref="K11"/>
    </sheetView>
  </sheetViews>
  <sheetFormatPr baseColWidth="10" defaultColWidth="10.6640625" defaultRowHeight="15" x14ac:dyDescent="0.2"/>
  <cols>
    <col min="1" max="1" width="57.1640625" customWidth="1"/>
    <col min="2" max="2" width="27.33203125" customWidth="1"/>
    <col min="3" max="3" width="21.6640625" customWidth="1"/>
    <col min="4" max="4" width="29.33203125" customWidth="1"/>
    <col min="5" max="5" width="24.5" bestFit="1" customWidth="1"/>
    <col min="6" max="6" width="9.33203125" customWidth="1"/>
    <col min="7" max="7" width="9.1640625" customWidth="1"/>
    <col min="9" max="9" width="31.5" bestFit="1" customWidth="1"/>
    <col min="10" max="10" width="12.33203125" customWidth="1"/>
    <col min="15" max="15" width="27" bestFit="1" customWidth="1"/>
    <col min="16" max="16" width="20.6640625" bestFit="1" customWidth="1"/>
  </cols>
  <sheetData>
    <row r="1" spans="1:14" ht="26.25" customHeight="1" thickBot="1" x14ac:dyDescent="0.25">
      <c r="A1" s="5" t="s">
        <v>41</v>
      </c>
    </row>
    <row r="2" spans="1:14" x14ac:dyDescent="0.2">
      <c r="A2" s="12" t="s">
        <v>0</v>
      </c>
      <c r="B2" s="12"/>
      <c r="C2" s="12"/>
      <c r="I2" s="7" t="s">
        <v>46</v>
      </c>
      <c r="J2" s="8"/>
      <c r="M2" s="2" t="s">
        <v>15</v>
      </c>
      <c r="N2" t="s">
        <v>4</v>
      </c>
    </row>
    <row r="3" spans="1:14" x14ac:dyDescent="0.2">
      <c r="A3" s="3" t="s">
        <v>1</v>
      </c>
      <c r="B3" s="3" t="s">
        <v>2</v>
      </c>
      <c r="C3" s="3" t="s">
        <v>3</v>
      </c>
      <c r="I3" s="6" t="s">
        <v>43</v>
      </c>
      <c r="J3" s="3" t="s">
        <v>4</v>
      </c>
      <c r="M3" t="s">
        <v>7</v>
      </c>
      <c r="N3">
        <v>132</v>
      </c>
    </row>
    <row r="4" spans="1:14" x14ac:dyDescent="0.2">
      <c r="A4" t="s">
        <v>5</v>
      </c>
      <c r="B4" t="s">
        <v>12</v>
      </c>
      <c r="C4" s="1">
        <v>1</v>
      </c>
      <c r="D4" t="s">
        <v>6</v>
      </c>
      <c r="I4" t="s">
        <v>7</v>
      </c>
      <c r="J4" s="10">
        <v>132.12</v>
      </c>
      <c r="K4" t="s">
        <v>47</v>
      </c>
      <c r="M4" t="s">
        <v>9</v>
      </c>
      <c r="N4">
        <v>2.5499999999999998</v>
      </c>
    </row>
    <row r="5" spans="1:14" x14ac:dyDescent="0.2">
      <c r="A5" s="4" t="s">
        <v>7</v>
      </c>
      <c r="B5" s="4" t="s">
        <v>12</v>
      </c>
      <c r="C5" s="11">
        <v>1.9818</v>
      </c>
      <c r="D5" t="s">
        <v>8</v>
      </c>
      <c r="I5" t="s">
        <v>9</v>
      </c>
      <c r="J5" s="10">
        <v>2.6</v>
      </c>
      <c r="M5" t="s">
        <v>10</v>
      </c>
      <c r="N5">
        <v>0.2</v>
      </c>
    </row>
    <row r="6" spans="1:14" x14ac:dyDescent="0.2">
      <c r="A6" s="4" t="s">
        <v>9</v>
      </c>
      <c r="B6" s="4" t="s">
        <v>12</v>
      </c>
      <c r="C6" s="11">
        <v>3.9000000000000007E-2</v>
      </c>
      <c r="D6" t="s">
        <v>8</v>
      </c>
      <c r="I6" t="s">
        <v>10</v>
      </c>
      <c r="J6" s="10">
        <v>0.39</v>
      </c>
      <c r="M6" t="s">
        <v>11</v>
      </c>
      <c r="N6">
        <v>1.04</v>
      </c>
    </row>
    <row r="7" spans="1:14" x14ac:dyDescent="0.2">
      <c r="A7" s="4" t="s">
        <v>10</v>
      </c>
      <c r="B7" s="4" t="s">
        <v>12</v>
      </c>
      <c r="C7" s="11">
        <v>5.8499999999999993E-3</v>
      </c>
      <c r="D7" t="s">
        <v>8</v>
      </c>
      <c r="I7" t="s">
        <v>11</v>
      </c>
      <c r="J7">
        <v>1.04</v>
      </c>
    </row>
    <row r="8" spans="1:14" x14ac:dyDescent="0.2">
      <c r="A8" s="4" t="s">
        <v>11</v>
      </c>
      <c r="B8" s="4" t="s">
        <v>12</v>
      </c>
      <c r="C8" s="11">
        <v>1.5600000000000001E-2</v>
      </c>
      <c r="D8" t="s">
        <v>8</v>
      </c>
      <c r="I8" s="6" t="s">
        <v>44</v>
      </c>
      <c r="J8" s="3" t="s">
        <v>4</v>
      </c>
    </row>
    <row r="9" spans="1:14" x14ac:dyDescent="0.2">
      <c r="A9" s="4" t="s">
        <v>42</v>
      </c>
      <c r="B9" s="4" t="s">
        <v>12</v>
      </c>
      <c r="C9" s="11">
        <v>0.66059999999999997</v>
      </c>
      <c r="I9" t="s">
        <v>7</v>
      </c>
      <c r="J9" s="9">
        <v>198.18</v>
      </c>
    </row>
    <row r="10" spans="1:14" x14ac:dyDescent="0.2">
      <c r="A10" s="4" t="s">
        <v>48</v>
      </c>
      <c r="B10" s="4" t="s">
        <v>12</v>
      </c>
      <c r="C10" s="11">
        <v>1.2999999999999999E-2</v>
      </c>
      <c r="I10" t="s">
        <v>9</v>
      </c>
      <c r="J10" s="9">
        <v>3.9</v>
      </c>
    </row>
    <row r="11" spans="1:14" x14ac:dyDescent="0.2">
      <c r="A11" s="4" t="s">
        <v>49</v>
      </c>
      <c r="B11" s="4" t="s">
        <v>12</v>
      </c>
      <c r="C11" s="11">
        <v>1.9500000000000001E-3</v>
      </c>
      <c r="I11" t="s">
        <v>10</v>
      </c>
      <c r="J11" s="9">
        <v>0.58499999999999996</v>
      </c>
    </row>
    <row r="12" spans="1:14" x14ac:dyDescent="0.2">
      <c r="A12" s="4" t="s">
        <v>50</v>
      </c>
      <c r="B12" s="4" t="s">
        <v>12</v>
      </c>
      <c r="C12" s="11">
        <v>5.1999999999999998E-3</v>
      </c>
      <c r="I12" t="s">
        <v>11</v>
      </c>
      <c r="J12" s="9">
        <v>1.56</v>
      </c>
    </row>
    <row r="13" spans="1:14" x14ac:dyDescent="0.2">
      <c r="A13" t="s">
        <v>13</v>
      </c>
      <c r="B13" t="s">
        <v>14</v>
      </c>
      <c r="C13" s="1">
        <v>1</v>
      </c>
      <c r="D13" t="s">
        <v>6</v>
      </c>
      <c r="I13" s="6" t="s">
        <v>45</v>
      </c>
      <c r="J13" s="3" t="s">
        <v>4</v>
      </c>
    </row>
    <row r="14" spans="1:14" x14ac:dyDescent="0.2">
      <c r="I14" t="s">
        <v>7</v>
      </c>
      <c r="J14" s="10">
        <v>66.06</v>
      </c>
    </row>
    <row r="15" spans="1:14" x14ac:dyDescent="0.2">
      <c r="A15" s="12" t="s">
        <v>16</v>
      </c>
      <c r="B15" s="12"/>
      <c r="C15" s="12"/>
      <c r="I15" t="s">
        <v>9</v>
      </c>
      <c r="J15" s="10">
        <v>1.3</v>
      </c>
    </row>
    <row r="16" spans="1:14" x14ac:dyDescent="0.2">
      <c r="A16" s="3" t="s">
        <v>17</v>
      </c>
      <c r="B16" s="3" t="s">
        <v>18</v>
      </c>
      <c r="C16" s="3" t="s">
        <v>19</v>
      </c>
      <c r="D16" s="3" t="s">
        <v>20</v>
      </c>
      <c r="E16" s="3"/>
      <c r="I16" t="s">
        <v>10</v>
      </c>
      <c r="J16" s="10">
        <v>0.19500000000000001</v>
      </c>
    </row>
    <row r="17" spans="1:10" x14ac:dyDescent="0.2">
      <c r="A17" t="s">
        <v>21</v>
      </c>
      <c r="B17" t="s">
        <v>13</v>
      </c>
      <c r="C17">
        <v>80</v>
      </c>
      <c r="D17">
        <f>C17*((C13)/1000)</f>
        <v>0.08</v>
      </c>
      <c r="I17" t="s">
        <v>11</v>
      </c>
      <c r="J17" s="1">
        <v>0.52</v>
      </c>
    </row>
    <row r="20" spans="1:10" x14ac:dyDescent="0.2">
      <c r="A20" s="12" t="s">
        <v>23</v>
      </c>
      <c r="B20" s="12"/>
      <c r="C20" s="12"/>
    </row>
    <row r="21" spans="1:10" x14ac:dyDescent="0.2">
      <c r="A21" s="3" t="s">
        <v>24</v>
      </c>
      <c r="B21" s="3" t="s">
        <v>25</v>
      </c>
      <c r="C21" s="3" t="s">
        <v>3</v>
      </c>
    </row>
    <row r="22" spans="1:10" ht="14.25" customHeight="1" x14ac:dyDescent="0.2">
      <c r="A22" t="s">
        <v>12</v>
      </c>
      <c r="B22" t="s">
        <v>27</v>
      </c>
      <c r="C22">
        <f>C4*0.0015</f>
        <v>1.5E-3</v>
      </c>
      <c r="D22" t="s">
        <v>26</v>
      </c>
    </row>
    <row r="24" spans="1:10" x14ac:dyDescent="0.2">
      <c r="A24" s="12" t="s">
        <v>28</v>
      </c>
      <c r="B24" s="12"/>
      <c r="C24" s="12"/>
    </row>
    <row r="25" spans="1:10" x14ac:dyDescent="0.2">
      <c r="A25" s="3" t="s">
        <v>31</v>
      </c>
      <c r="B25" s="3" t="s">
        <v>24</v>
      </c>
      <c r="C25" s="3" t="s">
        <v>3</v>
      </c>
    </row>
    <row r="26" spans="1:10" x14ac:dyDescent="0.2">
      <c r="A26" t="s">
        <v>40</v>
      </c>
      <c r="B26" t="s">
        <v>12</v>
      </c>
      <c r="C26">
        <v>30</v>
      </c>
    </row>
    <row r="40" spans="1:8" x14ac:dyDescent="0.2">
      <c r="A40" s="13" t="s">
        <v>28</v>
      </c>
      <c r="B40" s="13"/>
      <c r="C40" s="13"/>
      <c r="D40" s="13"/>
    </row>
    <row r="41" spans="1:8" x14ac:dyDescent="0.2">
      <c r="A41" t="s">
        <v>31</v>
      </c>
      <c r="B41" t="s">
        <v>24</v>
      </c>
      <c r="C41" t="s">
        <v>32</v>
      </c>
      <c r="D41" t="s">
        <v>3</v>
      </c>
    </row>
    <row r="42" spans="1:8" x14ac:dyDescent="0.2">
      <c r="A42" t="s">
        <v>40</v>
      </c>
      <c r="B42" t="s">
        <v>12</v>
      </c>
      <c r="C42" t="s">
        <v>33</v>
      </c>
      <c r="D42">
        <f>D48*G43</f>
        <v>48.6</v>
      </c>
      <c r="F42" t="s">
        <v>29</v>
      </c>
      <c r="H42" t="s">
        <v>30</v>
      </c>
    </row>
    <row r="43" spans="1:8" x14ac:dyDescent="0.2">
      <c r="C43" t="s">
        <v>34</v>
      </c>
      <c r="D43">
        <f>D48*G44</f>
        <v>20.7</v>
      </c>
      <c r="F43" t="s">
        <v>33</v>
      </c>
      <c r="G43">
        <v>0.54</v>
      </c>
    </row>
    <row r="44" spans="1:8" x14ac:dyDescent="0.2">
      <c r="C44" t="s">
        <v>35</v>
      </c>
      <c r="D44">
        <f>D48*G45</f>
        <v>5.67</v>
      </c>
      <c r="F44" t="s">
        <v>34</v>
      </c>
      <c r="G44">
        <v>0.23</v>
      </c>
    </row>
    <row r="45" spans="1:8" x14ac:dyDescent="0.2">
      <c r="C45" t="s">
        <v>36</v>
      </c>
      <c r="D45">
        <f>D48*G46</f>
        <v>11.700000000000001</v>
      </c>
      <c r="F45" t="s">
        <v>35</v>
      </c>
      <c r="G45">
        <v>6.3E-2</v>
      </c>
    </row>
    <row r="46" spans="1:8" x14ac:dyDescent="0.2">
      <c r="C46" t="s">
        <v>37</v>
      </c>
      <c r="D46">
        <f>D48*G47</f>
        <v>2.6100000000000003</v>
      </c>
      <c r="F46" t="s">
        <v>36</v>
      </c>
      <c r="G46">
        <v>0.13</v>
      </c>
    </row>
    <row r="47" spans="1:8" x14ac:dyDescent="0.2">
      <c r="C47" t="s">
        <v>38</v>
      </c>
      <c r="D47">
        <f>D48*G48</f>
        <v>8.1</v>
      </c>
      <c r="F47" t="s">
        <v>37</v>
      </c>
      <c r="G47">
        <v>2.9000000000000001E-2</v>
      </c>
    </row>
    <row r="48" spans="1:8" x14ac:dyDescent="0.2">
      <c r="C48" t="s">
        <v>22</v>
      </c>
      <c r="D48">
        <f>'[1]Electricity Use'!F5</f>
        <v>90</v>
      </c>
      <c r="F48" t="s">
        <v>38</v>
      </c>
      <c r="G48">
        <v>0.09</v>
      </c>
    </row>
    <row r="50" spans="6:7" x14ac:dyDescent="0.2">
      <c r="F50" t="s">
        <v>39</v>
      </c>
      <c r="G50">
        <f>SUM(G43:G48)</f>
        <v>1.0820000000000001</v>
      </c>
    </row>
  </sheetData>
  <mergeCells count="5">
    <mergeCell ref="A24:C24"/>
    <mergeCell ref="A40:D40"/>
    <mergeCell ref="A2:C2"/>
    <mergeCell ref="A15:C15"/>
    <mergeCell ref="A20:C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5afa5-203b-4855-b0e0-7c5ecaec1505">
      <Terms xmlns="http://schemas.microsoft.com/office/infopath/2007/PartnerControls"/>
    </lcf76f155ced4ddcb4097134ff3c332f>
    <TaxCatchAll xmlns="021125cc-83eb-463c-a69b-38079fd14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0A9AA16B8AA4CBBD6AE36636EA318" ma:contentTypeVersion="16" ma:contentTypeDescription="Create a new document." ma:contentTypeScope="" ma:versionID="97bc0a5f1a727efdd5997cd14b817678">
  <xsd:schema xmlns:xsd="http://www.w3.org/2001/XMLSchema" xmlns:xs="http://www.w3.org/2001/XMLSchema" xmlns:p="http://schemas.microsoft.com/office/2006/metadata/properties" xmlns:ns2="e035afa5-203b-4855-b0e0-7c5ecaec1505" xmlns:ns3="021125cc-83eb-463c-a69b-38079fd148ea" targetNamespace="http://schemas.microsoft.com/office/2006/metadata/properties" ma:root="true" ma:fieldsID="d413dacdc01c41041bc6ab826c0e56c7" ns2:_="" ns3:_="">
    <xsd:import namespace="e035afa5-203b-4855-b0e0-7c5ecaec1505"/>
    <xsd:import namespace="021125cc-83eb-463c-a69b-38079fd1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5afa5-203b-4855-b0e0-7c5ecaec1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bddb19a-c839-440f-bb75-d2596afd45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125cc-83eb-463c-a69b-38079fd148e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30bfc3a-31f0-434b-bbf5-704a8283c0b6}" ma:internalName="TaxCatchAll" ma:showField="CatchAllData" ma:web="021125cc-83eb-463c-a69b-38079fd148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CD0532-8DE0-439C-9100-68A6B050347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e035afa5-203b-4855-b0e0-7c5ecaec1505"/>
    <ds:schemaRef ds:uri="http://schemas.openxmlformats.org/package/2006/metadata/core-properties"/>
    <ds:schemaRef ds:uri="http://purl.org/dc/terms/"/>
    <ds:schemaRef ds:uri="021125cc-83eb-463c-a69b-38079fd148e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FDC4376-33A1-40E3-8FAD-FBBD374D4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50828-151D-4CC1-A818-3B2CBAC8F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5afa5-203b-4855-b0e0-7c5ecaec1505"/>
    <ds:schemaRef ds:uri="021125cc-83eb-463c-a69b-38079fd1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Loose Ealgrass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Ayaka Sato</dc:creator>
  <cp:keywords/>
  <dc:description/>
  <cp:lastModifiedBy>Tsui, T.P.Y. (Tanya)</cp:lastModifiedBy>
  <cp:revision/>
  <dcterms:created xsi:type="dcterms:W3CDTF">2015-06-05T18:17:20Z</dcterms:created>
  <dcterms:modified xsi:type="dcterms:W3CDTF">2026-06-23T07:58:53Z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0x01010072D0A9AA16B8AA4CBBD6AE36636EA318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